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1A1A"/>
      <sz val="22"/>
    </font>
    <font>
      <name val="Calibri"/>
      <i val="1"/>
      <color rgb="00595959"/>
      <sz val="11"/>
    </font>
    <font>
      <name val="Calibri"/>
      <b val="1"/>
      <color rgb="001A1A1A"/>
      <sz val="13"/>
    </font>
    <font>
      <name val="Calibri"/>
      <b val="1"/>
      <color rgb="00C6A15B"/>
      <sz val="11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b val="1"/>
      <color rgb="00FFFFFF"/>
      <sz val="11"/>
    </font>
    <font>
      <name val="Calibri"/>
      <b val="1"/>
      <color rgb="001A1A1A"/>
      <sz val="18"/>
    </font>
  </fonts>
  <fills count="4">
    <fill>
      <patternFill/>
    </fill>
    <fill>
      <patternFill patternType="gray125"/>
    </fill>
    <fill>
      <patternFill patternType="solid">
        <fgColor rgb="00C6A15B"/>
      </patternFill>
    </fill>
    <fill>
      <patternFill patternType="solid">
        <fgColor rgb="00F6EF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5" fillId="3" borderId="1" pivotButton="0" quotePrefix="0" xfId="0"/>
    <xf numFmtId="0" fontId="5" fillId="0" borderId="1" pivotButton="0" quotePrefix="0" xfId="0"/>
    <xf numFmtId="0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 ht="30" customHeight="1">
      <c r="A1" s="1" t="inlineStr">
        <is>
          <t>NOIR TALENT CO. — Creator CRM</t>
        </is>
      </c>
    </row>
    <row r="3">
      <c r="A3" s="2" t="inlineStr">
        <is>
          <t>A lightweight pipeline tracker for creator outreach. Use alongside docs/launch-playbook.docx.</t>
        </is>
      </c>
    </row>
    <row r="5">
      <c r="A5" s="3" t="inlineStr">
        <is>
          <t>How to use it</t>
        </is>
      </c>
    </row>
    <row r="6">
      <c r="A6" s="4" t="inlineStr">
        <is>
          <t>1.</t>
        </is>
      </c>
      <c r="B6" s="5" t="inlineStr">
        <is>
          <t>Prospects sheet — the source of truth. Every creator you consider goes here.</t>
        </is>
      </c>
    </row>
    <row r="7">
      <c r="A7" s="4" t="inlineStr">
        <is>
          <t>2.</t>
        </is>
      </c>
      <c r="B7" s="5" t="inlineStr">
        <is>
          <t>Add one row per prospect the moment you source them. Do not rely on memory.</t>
        </is>
      </c>
    </row>
    <row r="8">
      <c r="A8" s="4" t="inlineStr">
        <is>
          <t>3.</t>
        </is>
      </c>
      <c r="B8" s="5" t="inlineStr">
        <is>
          <t>The Stage column is a dropdown — pick one of the 9 pipeline stages.</t>
        </is>
      </c>
    </row>
    <row r="9">
      <c r="A9" s="4" t="inlineStr">
        <is>
          <t>4.</t>
        </is>
      </c>
      <c r="B9" s="5" t="inlineStr">
        <is>
          <t>Update "Last touched" and "Next action" every Friday during your weekly CRM review.</t>
        </is>
      </c>
    </row>
    <row r="10">
      <c r="A10" s="4" t="inlineStr">
        <is>
          <t>5.</t>
        </is>
      </c>
      <c r="B10" s="5" t="inlineStr">
        <is>
          <t>Pipeline sheet — auto-counts how many prospects are in each stage. Nothing to edit there.</t>
        </is>
      </c>
    </row>
    <row r="11">
      <c r="A11" s="4" t="inlineStr">
        <is>
          <t>6.</t>
        </is>
      </c>
      <c r="B11" s="5" t="inlineStr">
        <is>
          <t>Goal: keep active prospects (stages 2–4) under 20. Quality beats volume.</t>
        </is>
      </c>
    </row>
    <row r="14">
      <c r="A14" s="3" t="inlineStr">
        <is>
          <t>Pipeline stages</t>
        </is>
      </c>
    </row>
    <row r="15">
      <c r="A15" s="6" t="inlineStr">
        <is>
          <t>1 — Sourced</t>
        </is>
      </c>
      <c r="B15" s="5" t="inlineStr">
        <is>
          <t>Added to the sheet. Not contacted yet.</t>
        </is>
      </c>
    </row>
    <row r="16">
      <c r="A16" s="6" t="inlineStr">
        <is>
          <t>2 — Warming</t>
        </is>
      </c>
      <c r="B16" s="5" t="inlineStr">
        <is>
          <t>Week-long warm-up cycle (likes, comment, follow) in progress.</t>
        </is>
      </c>
    </row>
    <row r="17">
      <c r="A17" s="6" t="inlineStr">
        <is>
          <t>3 — Contacted</t>
        </is>
      </c>
      <c r="B17" s="5" t="inlineStr">
        <is>
          <t>First DM or email sent.</t>
        </is>
      </c>
    </row>
    <row r="18">
      <c r="A18" s="6" t="inlineStr">
        <is>
          <t>4 — In conversation</t>
        </is>
      </c>
      <c r="B18" s="5" t="inlineStr">
        <is>
          <t>They replied; dialog is live.</t>
        </is>
      </c>
    </row>
    <row r="19">
      <c r="A19" s="6" t="inlineStr">
        <is>
          <t>5 — Applied</t>
        </is>
      </c>
      <c r="B19" s="5" t="inlineStr">
        <is>
          <t>They submitted the form at /apply.</t>
        </is>
      </c>
    </row>
    <row r="20">
      <c r="A20" s="6" t="inlineStr">
        <is>
          <t>6 — Discovery call</t>
        </is>
      </c>
      <c r="B20" s="5" t="inlineStr">
        <is>
          <t>Call scheduled or completed.</t>
        </is>
      </c>
    </row>
    <row r="21">
      <c r="A21" s="6" t="inlineStr">
        <is>
          <t>7 — Signed</t>
        </is>
      </c>
      <c r="B21" s="5" t="inlineStr">
        <is>
          <t>Contract signed. Onboarding starting.</t>
        </is>
      </c>
    </row>
    <row r="22">
      <c r="A22" s="6" t="inlineStr">
        <is>
          <t>8 — Declined (by us)</t>
        </is>
      </c>
      <c r="B22" s="5" t="inlineStr">
        <is>
          <t>You decided not to move forward. Log the reason.</t>
        </is>
      </c>
    </row>
    <row r="23">
      <c r="A23" s="6" t="inlineStr">
        <is>
          <t>9 — Declined (by them)</t>
        </is>
      </c>
      <c r="B23" s="5" t="inlineStr">
        <is>
          <t>They said no. Set a 90-day follow-up reminder.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  <col width="12" customWidth="1" min="5" max="5"/>
    <col width="20" customWidth="1" min="6" max="6"/>
    <col width="16" customWidth="1" min="7" max="7"/>
    <col width="14" customWidth="1" min="8" max="8"/>
    <col width="14" customWidth="1" min="9" max="9"/>
    <col width="16" customWidth="1" min="10" max="10"/>
    <col width="30" customWidth="1" min="11" max="11"/>
    <col width="50" customWidth="1" min="12" max="12"/>
  </cols>
  <sheetData>
    <row r="1" ht="32" customHeight="1">
      <c r="A1" s="7" t="inlineStr">
        <is>
          <t>Date added</t>
        </is>
      </c>
      <c r="B1" s="7" t="inlineStr">
        <is>
          <t>Handle / name</t>
        </is>
      </c>
      <c r="C1" s="7" t="inlineStr">
        <is>
          <t>Platform</t>
        </is>
      </c>
      <c r="D1" s="7" t="inlineStr">
        <is>
          <t>Niche</t>
        </is>
      </c>
      <c r="E1" s="7" t="inlineStr">
        <is>
          <t>Followers</t>
        </is>
      </c>
      <c r="F1" s="7" t="inlineStr">
        <is>
          <t>Stage</t>
        </is>
      </c>
      <c r="G1" s="7" t="inlineStr">
        <is>
          <t>First contact date</t>
        </is>
      </c>
      <c r="H1" s="7" t="inlineStr">
        <is>
          <t>Reply? (Y/N)</t>
        </is>
      </c>
      <c r="I1" s="7" t="inlineStr">
        <is>
          <t>Last touched</t>
        </is>
      </c>
      <c r="J1" s="7" t="inlineStr">
        <is>
          <t>Next action (date)</t>
        </is>
      </c>
      <c r="K1" s="7" t="inlineStr">
        <is>
          <t>Next action (what)</t>
        </is>
      </c>
      <c r="L1" s="7" t="inlineStr">
        <is>
          <t>Notes</t>
        </is>
      </c>
    </row>
    <row r="2">
      <c r="A2" s="8" t="inlineStr">
        <is>
          <t>2026-04-22</t>
        </is>
      </c>
      <c r="B2" s="8" t="inlineStr">
        <is>
          <t>@examplehandle</t>
        </is>
      </c>
      <c r="C2" s="8" t="inlineStr">
        <is>
          <t>X / Twitter</t>
        </is>
      </c>
      <c r="D2" s="8" t="inlineStr">
        <is>
          <t>Fitness</t>
        </is>
      </c>
      <c r="E2" s="8" t="inlineStr">
        <is>
          <t>18000</t>
        </is>
      </c>
      <c r="F2" s="8" t="inlineStr">
        <is>
          <t>2 — Warming</t>
        </is>
      </c>
      <c r="G2" s="8" t="inlineStr"/>
      <c r="H2" s="8" t="inlineStr"/>
      <c r="I2" s="8" t="inlineStr">
        <is>
          <t>2026-04-22</t>
        </is>
      </c>
      <c r="J2" s="8" t="inlineStr">
        <is>
          <t>2026-04-29</t>
        </is>
      </c>
      <c r="K2" s="8" t="inlineStr">
        <is>
          <t>Send first DM after 7-day warm-up</t>
        </is>
      </c>
      <c r="L2" s="8" t="inlineStr">
        <is>
          <t>Strong engagement rate. Posts 5×/week. No agency mentioned in bio.</t>
        </is>
      </c>
    </row>
    <row r="3">
      <c r="A3" s="9" t="inlineStr">
        <is>
          <t>2026-04-21</t>
        </is>
      </c>
      <c r="B3" s="9" t="inlineStr">
        <is>
          <t>@another_one</t>
        </is>
      </c>
      <c r="C3" s="9" t="inlineStr">
        <is>
          <t>Reddit</t>
        </is>
      </c>
      <c r="D3" s="9" t="inlineStr">
        <is>
          <t>Alt / cosplay</t>
        </is>
      </c>
      <c r="E3" s="9" t="inlineStr">
        <is>
          <t>9000</t>
        </is>
      </c>
      <c r="F3" s="9" t="inlineStr">
        <is>
          <t>3 — Contacted</t>
        </is>
      </c>
      <c r="G3" s="9" t="inlineStr">
        <is>
          <t>2026-04-21</t>
        </is>
      </c>
      <c r="H3" s="9" t="inlineStr">
        <is>
          <t>—</t>
        </is>
      </c>
      <c r="I3" s="9" t="inlineStr">
        <is>
          <t>2026-04-21</t>
        </is>
      </c>
      <c r="J3" s="9" t="inlineStr">
        <is>
          <t>2026-04-26</t>
        </is>
      </c>
      <c r="K3" s="9" t="inlineStr">
        <is>
          <t>Follow up if no reply by this date</t>
        </is>
      </c>
      <c r="L3" s="9" t="inlineStr">
        <is>
          <t>Posted in r/OnlyFansAdvice asking about pricing. Genuine question; replied with helpful answer.</t>
        </is>
      </c>
    </row>
    <row r="4">
      <c r="A4" s="8" t="inlineStr">
        <is>
          <t>2026-04-18</t>
        </is>
      </c>
      <c r="B4" s="8" t="inlineStr">
        <is>
          <t>@third_example</t>
        </is>
      </c>
      <c r="C4" s="8" t="inlineStr">
        <is>
          <t>Instagram</t>
        </is>
      </c>
      <c r="D4" s="8" t="inlineStr">
        <is>
          <t>Fitness</t>
        </is>
      </c>
      <c r="E4" s="8" t="inlineStr">
        <is>
          <t>32000</t>
        </is>
      </c>
      <c r="F4" s="8" t="inlineStr">
        <is>
          <t>4 — In conversation</t>
        </is>
      </c>
      <c r="G4" s="8" t="inlineStr">
        <is>
          <t>2026-04-15</t>
        </is>
      </c>
      <c r="H4" s="8" t="inlineStr">
        <is>
          <t>Y</t>
        </is>
      </c>
      <c r="I4" s="8" t="inlineStr">
        <is>
          <t>2026-04-20</t>
        </is>
      </c>
      <c r="J4" s="8" t="inlineStr">
        <is>
          <t>2026-04-23</t>
        </is>
      </c>
      <c r="K4" s="8" t="inlineStr">
        <is>
          <t>Send application link</t>
        </is>
      </c>
      <c r="L4" s="8" t="inlineStr">
        <is>
          <t>Replied positively. Said she was thinking about getting help with pricing. Sent Part 4 script response.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</sheetData>
  <dataValidations count="3">
    <dataValidation sqref="F2:F500" showDropDown="0" showInputMessage="0" showErrorMessage="0" allowBlank="1" type="list">
      <formula1>"1 — Sourced,2 — Warming,3 — Contacted,4 — In conversation,5 — Applied,6 — Discovery call,7 — Signed,8 — Declined (by us),9 — Declined (by them)"</formula1>
    </dataValidation>
    <dataValidation sqref="C2:C500" showDropDown="0" showInputMessage="0" showErrorMessage="0" allowBlank="1" type="list">
      <formula1>"Instagram,X / Twitter,TikTok,Reddit,Email,Fansly,Other"</formula1>
    </dataValidation>
    <dataValidation sqref="H2:H500" showDropDown="0" showInputMessage="0" showErrorMessage="0" allowBlank="1" type="list">
      <formula1>"Y,N,—"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0" t="inlineStr">
        <is>
          <t>Pipeline snapshot</t>
        </is>
      </c>
    </row>
    <row r="3">
      <c r="A3" s="7" t="inlineStr">
        <is>
          <t>Stage</t>
        </is>
      </c>
      <c r="B3" s="7" t="inlineStr">
        <is>
          <t>Count</t>
        </is>
      </c>
    </row>
    <row r="4">
      <c r="A4" s="11" t="inlineStr">
        <is>
          <t>1 — Sourced</t>
        </is>
      </c>
      <c r="B4" s="11">
        <f>COUNTIF(Prospects!F:F,"1 — Sourced")</f>
        <v/>
      </c>
    </row>
    <row r="5">
      <c r="A5" s="12" t="inlineStr">
        <is>
          <t>2 — Warming</t>
        </is>
      </c>
      <c r="B5" s="12">
        <f>COUNTIF(Prospects!F:F,"2 — Warming")</f>
        <v/>
      </c>
    </row>
    <row r="6">
      <c r="A6" s="11" t="inlineStr">
        <is>
          <t>3 — Contacted</t>
        </is>
      </c>
      <c r="B6" s="11">
        <f>COUNTIF(Prospects!F:F,"3 — Contacted")</f>
        <v/>
      </c>
    </row>
    <row r="7">
      <c r="A7" s="12" t="inlineStr">
        <is>
          <t>4 — In conversation</t>
        </is>
      </c>
      <c r="B7" s="12">
        <f>COUNTIF(Prospects!F:F,"4 — In conversation")</f>
        <v/>
      </c>
    </row>
    <row r="8">
      <c r="A8" s="11" t="inlineStr">
        <is>
          <t>5 — Applied</t>
        </is>
      </c>
      <c r="B8" s="11">
        <f>COUNTIF(Prospects!F:F,"5 — Applied")</f>
        <v/>
      </c>
    </row>
    <row r="9">
      <c r="A9" s="12" t="inlineStr">
        <is>
          <t>6 — Discovery call</t>
        </is>
      </c>
      <c r="B9" s="12">
        <f>COUNTIF(Prospects!F:F,"6 — Discovery call")</f>
        <v/>
      </c>
    </row>
    <row r="10">
      <c r="A10" s="11" t="inlineStr">
        <is>
          <t>7 — Signed</t>
        </is>
      </c>
      <c r="B10" s="11">
        <f>COUNTIF(Prospects!F:F,"7 — Signed")</f>
        <v/>
      </c>
    </row>
    <row r="11">
      <c r="A11" s="12" t="inlineStr">
        <is>
          <t>8 — Declined (by us)</t>
        </is>
      </c>
      <c r="B11" s="12">
        <f>COUNTIF(Prospects!F:F,"8 — Declined (by us)")</f>
        <v/>
      </c>
    </row>
    <row r="12">
      <c r="A12" s="11" t="inlineStr">
        <is>
          <t>9 — Declined (by them)</t>
        </is>
      </c>
      <c r="B12" s="11">
        <f>COUNTIF(Prospects!F:F,"9 — Declined (by them)")</f>
        <v/>
      </c>
    </row>
    <row r="13">
      <c r="A13" s="13" t="inlineStr">
        <is>
          <t>TOTAL</t>
        </is>
      </c>
      <c r="B13" s="13">
        <f>SUM(B4:B12)</f>
        <v/>
      </c>
    </row>
    <row r="15">
      <c r="A15" s="3" t="inlineStr">
        <is>
          <t>Rules of thumb</t>
        </is>
      </c>
    </row>
    <row r="16">
      <c r="A16" s="5" t="inlineStr">
        <is>
          <t>• Keep stages 2–4 (Warming + Contacted + In conversation) combined under 20 at any time.</t>
        </is>
      </c>
    </row>
    <row r="17">
      <c r="A17" s="5" t="inlineStr">
        <is>
          <t>• If Stage 3 (Contacted) with no reply exceeds 14 days, move to Stage 8 or 9 and reset.</t>
        </is>
      </c>
    </row>
    <row r="18">
      <c r="A18" s="5" t="inlineStr">
        <is>
          <t>• Every Stage 9 gets a 90-day follow-up reminder. Set a calendar event the day you log it.</t>
        </is>
      </c>
    </row>
    <row r="19">
      <c r="A19" s="5" t="inlineStr">
        <is>
          <t>• The number that matters in month 1 is Stage 6 (Discovery call) &gt; 0. Everything else is noise.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2026-04-22T06:34:23Z</dcterms:created>
  <dcterms:modified xmlns:dcterms="http://purl.org/dc/terms/" xmlns:xsi="http://www.w3.org/2001/XMLSchema-instance" xsi:type="dcterms:W3CDTF">2026-04-22T06:34:23Z</dcterms:modified>
</cp:coreProperties>
</file>